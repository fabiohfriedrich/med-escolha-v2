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ício" sheetId="1" state="visible" r:id="rId1"/>
    <sheet name="Painel" sheetId="2" state="visible" r:id="rId2"/>
    <sheet name="Receitas" sheetId="3" state="visible" r:id="rId3"/>
    <sheet name="Despesas fixas" sheetId="4" state="visible" r:id="rId4"/>
    <sheet name="Despesas variáveis" sheetId="5" state="visible" r:id="rId5"/>
    <sheet name="Plantões" sheetId="6" state="visible" r:id="rId6"/>
    <sheet name="Reserva" sheetId="7" state="visible" r:id="rId7"/>
    <sheet name="Guia rápid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R$&quot; #,##0"/>
    <numFmt numFmtId="165" formatCode="DD/MM/YYYY"/>
    <numFmt numFmtId="166" formatCode="&quot;R$&quot; #,##0;[Red]-&quot;R$&quot; #,##0"/>
  </numFmts>
  <fonts count="17">
    <font>
      <name val="Calibri"/>
      <family val="2"/>
      <color theme="1"/>
      <sz val="11"/>
      <scheme val="minor"/>
    </font>
    <font>
      <name val="Arial"/>
      <b val="1"/>
      <color rgb="000B1F44"/>
      <sz val="20"/>
    </font>
    <font>
      <name val="Arial"/>
      <color rgb="00007BFF"/>
      <sz val="12"/>
    </font>
    <font>
      <name val="Arial"/>
      <b val="1"/>
      <color rgb="000B1F44"/>
      <sz val="13"/>
    </font>
    <font>
      <name val="Arial"/>
      <color rgb="000B1F44"/>
      <sz val="11"/>
    </font>
    <font>
      <name val="Arial"/>
      <color rgb="00007BFF"/>
      <sz val="11"/>
    </font>
    <font>
      <name val="Arial"/>
      <i val="1"/>
      <color rgb="005A6B85"/>
      <sz val="11"/>
    </font>
    <font>
      <name val="Arial"/>
      <b val="1"/>
      <color rgb="000B1F44"/>
      <sz val="16"/>
    </font>
    <font>
      <name val="Arial"/>
      <color rgb="005A6B85"/>
      <sz val="11"/>
    </font>
    <font>
      <name val="Arial"/>
      <b val="1"/>
      <color rgb="00FFFFFF"/>
      <sz val="10"/>
    </font>
    <font>
      <name val="Arial"/>
      <color rgb="000B1F44"/>
      <sz val="10"/>
    </font>
    <font>
      <name val="Arial"/>
      <color rgb="00007BFF"/>
      <sz val="10"/>
    </font>
    <font>
      <name val="Arial"/>
      <b val="1"/>
      <color rgb="000B1F44"/>
      <sz val="10"/>
    </font>
    <font>
      <name val="Arial"/>
      <i val="1"/>
      <color rgb="005A6B85"/>
      <sz val="9"/>
    </font>
    <font>
      <name val="Arial"/>
      <i val="1"/>
      <color rgb="005A6B85"/>
      <sz val="10"/>
    </font>
    <font>
      <name val="Arial"/>
      <b val="1"/>
      <color rgb="000B1F44"/>
      <sz val="9"/>
    </font>
    <font>
      <name val="Arial"/>
      <b val="1"/>
      <color rgb="000B1F44"/>
      <sz val="12"/>
    </font>
  </fonts>
  <fills count="5">
    <fill>
      <patternFill/>
    </fill>
    <fill>
      <patternFill patternType="gray125"/>
    </fill>
    <fill>
      <patternFill patternType="solid">
        <fgColor rgb="00E8F1FF"/>
      </patternFill>
    </fill>
    <fill>
      <patternFill patternType="solid">
        <fgColor rgb="00007BFF"/>
      </patternFill>
    </fill>
    <fill>
      <patternFill patternType="solid">
        <fgColor rgb="00F5F7FA"/>
      </patternFill>
    </fill>
  </fills>
  <borders count="5">
    <border>
      <left/>
      <right/>
      <top/>
      <bottom/>
      <diagonal/>
    </border>
    <border>
      <left style="thin">
        <color rgb="00C9D4E4"/>
      </left>
      <right style="thin">
        <color rgb="00C9D4E4"/>
      </right>
      <top style="thin">
        <color rgb="00C9D4E4"/>
      </top>
      <bottom style="thin">
        <color rgb="00C9D4E4"/>
      </bottom>
    </border>
    <border>
      <left/>
      <right/>
      <top style="thin">
        <color rgb="00C9D4E4"/>
      </top>
      <bottom/>
      <diagonal/>
    </border>
    <border>
      <left/>
      <right style="thin">
        <color rgb="00C9D4E4"/>
      </right>
      <top style="thin">
        <color rgb="00C9D4E4"/>
      </top>
      <bottom/>
      <diagonal/>
    </border>
    <border>
      <left/>
      <right style="thin">
        <color rgb="00C9D4E4"/>
      </right>
      <top style="thin">
        <color rgb="00C9D4E4"/>
      </top>
      <bottom style="thin">
        <color rgb="00C9D4E4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2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0" borderId="0" pivotButton="0" quotePrefix="0" xfId="0"/>
    <xf numFmtId="0" fontId="8" fillId="0" borderId="0" pivotButton="0" quotePrefix="0" xfId="0"/>
    <xf numFmtId="0" fontId="9" fillId="3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0" fontId="10" fillId="0" borderId="1" pivotButton="0" quotePrefix="0" xfId="0"/>
    <xf numFmtId="164" fontId="10" fillId="0" borderId="1" pivotButton="0" quotePrefix="0" xfId="0"/>
    <xf numFmtId="164" fontId="12" fillId="2" borderId="1" pivotButton="0" quotePrefix="0" xfId="0"/>
    <xf numFmtId="0" fontId="12" fillId="4" borderId="1" pivotButton="0" quotePrefix="0" xfId="0"/>
    <xf numFmtId="164" fontId="12" fillId="4" borderId="1" pivotButton="0" quotePrefix="0" xfId="0"/>
    <xf numFmtId="0" fontId="12" fillId="2" borderId="1" pivotButton="0" quotePrefix="0" xfId="0"/>
    <xf numFmtId="166" fontId="12" fillId="2" borderId="1" pivotButton="0" quotePrefix="0" xfId="0"/>
    <xf numFmtId="9" fontId="10" fillId="0" borderId="1" pivotButton="0" quotePrefix="0" xfId="0"/>
    <xf numFmtId="9" fontId="12" fillId="2" borderId="1" pivotButton="0" quotePrefix="0" xfId="0"/>
    <xf numFmtId="0" fontId="15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16" fillId="0" borderId="0" pivotButton="0" quotePrefix="0" xfId="0"/>
    <xf numFmtId="0" fontId="13" fillId="0" borderId="0" pivotButton="0" quotePrefix="0" xfId="0"/>
    <xf numFmtId="164" fontId="11" fillId="0" borderId="1" pivotButton="0" quotePrefix="0" xfId="0"/>
    <xf numFmtId="0" fontId="10" fillId="4" borderId="1" pivotButton="0" quotePrefix="0" xfId="0"/>
    <xf numFmtId="164" fontId="11" fillId="4" borderId="1" pivotButton="0" quotePrefix="0" xfId="0"/>
    <xf numFmtId="165" fontId="11" fillId="0" borderId="1" pivotButton="0" quotePrefix="0" xfId="0"/>
    <xf numFmtId="0" fontId="11" fillId="0" borderId="1" pivotButton="0" quotePrefix="0" xfId="0"/>
    <xf numFmtId="0" fontId="11" fillId="0" borderId="1" applyAlignment="1" pivotButton="0" quotePrefix="0" xfId="0">
      <alignment horizontal="center" vertical="center"/>
    </xf>
    <xf numFmtId="1" fontId="11" fillId="0" borderId="1" pivotButton="0" quotePrefix="0" xfId="0"/>
    <xf numFmtId="164" fontId="10" fillId="2" borderId="1" pivotButton="0" quotePrefix="0" xfId="0"/>
    <xf numFmtId="9" fontId="10" fillId="2" borderId="1" pivotButton="0" quotePrefix="0" xfId="0"/>
    <xf numFmtId="1" fontId="10" fillId="2" borderId="1" pivotButton="0" quotePrefix="0" xfId="0"/>
    <xf numFmtId="0" fontId="14" fillId="0" borderId="0" applyAlignment="1" pivotButton="0" quotePrefix="0" xfId="0">
      <alignment horizontal="left" vertical="top" wrapText="1"/>
    </xf>
    <xf numFmtId="0" fontId="9" fillId="3" borderId="0" pivotButton="0" quotePrefix="0" xfId="0"/>
    <xf numFmtId="0" fontId="4" fillId="0" borderId="1" pivotButton="0" quotePrefix="0" xfId="0"/>
    <xf numFmtId="0" fontId="4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7BFF"/>
    <outlinePr summaryBelow="1" summaryRight="1"/>
    <pageSetUpPr/>
  </sheetPr>
  <dimension ref="B2:B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2">
      <c r="B2" s="1" t="inlineStr">
        <is>
          <t>Planilha Financeira do Médico Recém-Formado</t>
        </is>
      </c>
    </row>
    <row r="3">
      <c r="B3" s="2" t="inlineStr">
        <is>
          <t>por Amo Medicina  •  lp.euamomedicina.com</t>
        </is>
      </c>
    </row>
    <row r="5">
      <c r="B5" s="3" t="inlineStr">
        <is>
          <t>Como usar (leva 10 minutos por mês, prometo)</t>
        </is>
      </c>
    </row>
    <row r="6">
      <c r="B6" s="4" t="inlineStr">
        <is>
          <t>1. Comece pela aba Receitas: lança tudo que caiu na conta no mês (bolsa, plantões, PJ, consultório).</t>
        </is>
      </c>
    </row>
    <row r="7">
      <c r="B7" s="4" t="inlineStr">
        <is>
          <t>2. Depois preencha Despesas fixas e Despesas variáveis. Só as células em azul, o resto calcula sozinho.</t>
        </is>
      </c>
    </row>
    <row r="8">
      <c r="B8" s="4" t="inlineStr">
        <is>
          <t>3. Faz plantão? A aba Plantões controla cada um: quantas horas, valor da hora e se o hospital já pagou.</t>
        </is>
      </c>
    </row>
    <row r="9">
      <c r="B9" s="4" t="inlineStr">
        <is>
          <t>4. A aba Reserva de emergência mostra sua meta de segurança e em quantos meses você chega lá.</t>
        </is>
      </c>
    </row>
    <row r="10">
      <c r="B10" s="4" t="inlineStr">
        <is>
          <t>5. O Painel junta tudo: saldo de cada mês, quanto da renda você poupou e como foi o mês.</t>
        </is>
      </c>
    </row>
    <row r="11">
      <c r="B11" s="4" t="inlineStr">
        <is>
          <t>6. No Guia rápido tem o checklist financeiro de quem tá começando a carreira. Vale a leitura!</t>
        </is>
      </c>
    </row>
    <row r="13">
      <c r="B13" s="3" t="inlineStr">
        <is>
          <t>Legenda de cores</t>
        </is>
      </c>
    </row>
    <row r="14">
      <c r="B14" s="5" t="inlineStr">
        <is>
          <t>Texto azul = célula pra você preencher (ex.: 3500)</t>
        </is>
      </c>
    </row>
    <row r="15">
      <c r="B15" s="6" t="inlineStr">
        <is>
          <t>Texto escuro em fundo azul claro = calculado automaticamente, não precisa mexer</t>
        </is>
      </c>
    </row>
    <row r="17" ht="45" customHeight="1">
      <c r="B17" s="7" t="inlineStr">
        <is>
          <t>Dica de quem já viu muito colega se enrolar: no início da carreira a renda varia demais (plantão extra num mês, buraco no outro). Monte seu orçamento com base na renda fixa e trate o plantão extra como acelerador da reserva, não como salário garantido.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B1F44"/>
    <outlinePr summaryBelow="1" summaryRight="1"/>
    <pageSetUpPr/>
  </sheetPr>
  <dimension ref="A1:N1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13" customWidth="1" min="14" max="14"/>
  </cols>
  <sheetData>
    <row r="1">
      <c r="A1" s="8" t="inlineStr">
        <is>
          <t>Painel do ano</t>
        </is>
      </c>
    </row>
    <row r="2">
      <c r="A2" s="9" t="inlineStr">
        <is>
          <t>Tudo calculado sozinho a partir das outras abas. Aqui você só olha e toma decisão.</t>
        </is>
      </c>
    </row>
    <row r="4">
      <c r="A4" s="10" t="inlineStr">
        <is>
          <t>Visão mensal</t>
        </is>
      </c>
      <c r="B4" s="11" t="inlineStr">
        <is>
          <t>Jan</t>
        </is>
      </c>
      <c r="C4" s="11" t="inlineStr">
        <is>
          <t>Fev</t>
        </is>
      </c>
      <c r="D4" s="11" t="inlineStr">
        <is>
          <t>Mar</t>
        </is>
      </c>
      <c r="E4" s="11" t="inlineStr">
        <is>
          <t>Abr</t>
        </is>
      </c>
      <c r="F4" s="11" t="inlineStr">
        <is>
          <t>Mai</t>
        </is>
      </c>
      <c r="G4" s="11" t="inlineStr">
        <is>
          <t>Jun</t>
        </is>
      </c>
      <c r="H4" s="11" t="inlineStr">
        <is>
          <t>Jul</t>
        </is>
      </c>
      <c r="I4" s="11" t="inlineStr">
        <is>
          <t>Ago</t>
        </is>
      </c>
      <c r="J4" s="11" t="inlineStr">
        <is>
          <t>Set</t>
        </is>
      </c>
      <c r="K4" s="11" t="inlineStr">
        <is>
          <t>Out</t>
        </is>
      </c>
      <c r="L4" s="11" t="inlineStr">
        <is>
          <t>Nov</t>
        </is>
      </c>
      <c r="M4" s="11" t="inlineStr">
        <is>
          <t>Dez</t>
        </is>
      </c>
      <c r="N4" s="11" t="inlineStr">
        <is>
          <t>Total do ano</t>
        </is>
      </c>
    </row>
    <row r="5">
      <c r="A5" s="12" t="inlineStr">
        <is>
          <t>Receitas</t>
        </is>
      </c>
      <c r="B5" s="13">
        <f>Receitas!B11</f>
        <v/>
      </c>
      <c r="C5" s="13">
        <f>Receitas!C11</f>
        <v/>
      </c>
      <c r="D5" s="13">
        <f>Receitas!D11</f>
        <v/>
      </c>
      <c r="E5" s="13">
        <f>Receitas!E11</f>
        <v/>
      </c>
      <c r="F5" s="13">
        <f>Receitas!F11</f>
        <v/>
      </c>
      <c r="G5" s="13">
        <f>Receitas!G11</f>
        <v/>
      </c>
      <c r="H5" s="13">
        <f>Receitas!H11</f>
        <v/>
      </c>
      <c r="I5" s="13">
        <f>Receitas!I11</f>
        <v/>
      </c>
      <c r="J5" s="13">
        <f>Receitas!J11</f>
        <v/>
      </c>
      <c r="K5" s="13">
        <f>Receitas!K11</f>
        <v/>
      </c>
      <c r="L5" s="13">
        <f>Receitas!L11</f>
        <v/>
      </c>
      <c r="M5" s="13">
        <f>Receitas!M11</f>
        <v/>
      </c>
      <c r="N5" s="14">
        <f>SUM(B5:M5)</f>
        <v/>
      </c>
    </row>
    <row r="6">
      <c r="A6" s="12" t="inlineStr">
        <is>
          <t>Despesas fixas</t>
        </is>
      </c>
      <c r="B6" s="13">
        <f>'Despesas fixas'!B17</f>
        <v/>
      </c>
      <c r="C6" s="13">
        <f>'Despesas fixas'!C17</f>
        <v/>
      </c>
      <c r="D6" s="13">
        <f>'Despesas fixas'!D17</f>
        <v/>
      </c>
      <c r="E6" s="13">
        <f>'Despesas fixas'!E17</f>
        <v/>
      </c>
      <c r="F6" s="13">
        <f>'Despesas fixas'!F17</f>
        <v/>
      </c>
      <c r="G6" s="13">
        <f>'Despesas fixas'!G17</f>
        <v/>
      </c>
      <c r="H6" s="13">
        <f>'Despesas fixas'!H17</f>
        <v/>
      </c>
      <c r="I6" s="13">
        <f>'Despesas fixas'!I17</f>
        <v/>
      </c>
      <c r="J6" s="13">
        <f>'Despesas fixas'!J17</f>
        <v/>
      </c>
      <c r="K6" s="13">
        <f>'Despesas fixas'!K17</f>
        <v/>
      </c>
      <c r="L6" s="13">
        <f>'Despesas fixas'!L17</f>
        <v/>
      </c>
      <c r="M6" s="13">
        <f>'Despesas fixas'!M17</f>
        <v/>
      </c>
      <c r="N6" s="14">
        <f>SUM(B6:M6)</f>
        <v/>
      </c>
    </row>
    <row r="7">
      <c r="A7" s="12" t="inlineStr">
        <is>
          <t>Despesas variáveis</t>
        </is>
      </c>
      <c r="B7" s="13">
        <f>'Despesas variáveis'!B13</f>
        <v/>
      </c>
      <c r="C7" s="13">
        <f>'Despesas variáveis'!C13</f>
        <v/>
      </c>
      <c r="D7" s="13">
        <f>'Despesas variáveis'!D13</f>
        <v/>
      </c>
      <c r="E7" s="13">
        <f>'Despesas variáveis'!E13</f>
        <v/>
      </c>
      <c r="F7" s="13">
        <f>'Despesas variáveis'!F13</f>
        <v/>
      </c>
      <c r="G7" s="13">
        <f>'Despesas variáveis'!G13</f>
        <v/>
      </c>
      <c r="H7" s="13">
        <f>'Despesas variáveis'!H13</f>
        <v/>
      </c>
      <c r="I7" s="13">
        <f>'Despesas variáveis'!I13</f>
        <v/>
      </c>
      <c r="J7" s="13">
        <f>'Despesas variáveis'!J13</f>
        <v/>
      </c>
      <c r="K7" s="13">
        <f>'Despesas variáveis'!K13</f>
        <v/>
      </c>
      <c r="L7" s="13">
        <f>'Despesas variáveis'!L13</f>
        <v/>
      </c>
      <c r="M7" s="13">
        <f>'Despesas variáveis'!M13</f>
        <v/>
      </c>
      <c r="N7" s="14">
        <f>SUM(B7:M7)</f>
        <v/>
      </c>
    </row>
    <row r="8">
      <c r="A8" s="15" t="inlineStr">
        <is>
          <t>Total de despesas</t>
        </is>
      </c>
      <c r="B8" s="16">
        <f>B6+B7</f>
        <v/>
      </c>
      <c r="C8" s="16">
        <f>C6+C7</f>
        <v/>
      </c>
      <c r="D8" s="16">
        <f>D6+D7</f>
        <v/>
      </c>
      <c r="E8" s="16">
        <f>E6+E7</f>
        <v/>
      </c>
      <c r="F8" s="16">
        <f>F6+F7</f>
        <v/>
      </c>
      <c r="G8" s="16">
        <f>G6+G7</f>
        <v/>
      </c>
      <c r="H8" s="16">
        <f>H6+H7</f>
        <v/>
      </c>
      <c r="I8" s="16">
        <f>I6+I7</f>
        <v/>
      </c>
      <c r="J8" s="16">
        <f>J6+J7</f>
        <v/>
      </c>
      <c r="K8" s="16">
        <f>K6+K7</f>
        <v/>
      </c>
      <c r="L8" s="16">
        <f>L6+L7</f>
        <v/>
      </c>
      <c r="M8" s="16">
        <f>M6+M7</f>
        <v/>
      </c>
      <c r="N8" s="14">
        <f>SUM(B8:M8)</f>
        <v/>
      </c>
    </row>
    <row r="9">
      <c r="A9" s="17" t="inlineStr">
        <is>
          <t>Saldo do mês</t>
        </is>
      </c>
      <c r="B9" s="18">
        <f>B5-B8</f>
        <v/>
      </c>
      <c r="C9" s="18">
        <f>C5-C8</f>
        <v/>
      </c>
      <c r="D9" s="18">
        <f>D5-D8</f>
        <v/>
      </c>
      <c r="E9" s="18">
        <f>E5-E8</f>
        <v/>
      </c>
      <c r="F9" s="18">
        <f>F5-F8</f>
        <v/>
      </c>
      <c r="G9" s="18">
        <f>G5-G8</f>
        <v/>
      </c>
      <c r="H9" s="18">
        <f>H5-H8</f>
        <v/>
      </c>
      <c r="I9" s="18">
        <f>I5-I8</f>
        <v/>
      </c>
      <c r="J9" s="18">
        <f>J5-J8</f>
        <v/>
      </c>
      <c r="K9" s="18">
        <f>K5-K8</f>
        <v/>
      </c>
      <c r="L9" s="18">
        <f>L5-L8</f>
        <v/>
      </c>
      <c r="M9" s="18">
        <f>M5-M8</f>
        <v/>
      </c>
      <c r="N9" s="18">
        <f>SUM(B9:M9)</f>
        <v/>
      </c>
    </row>
    <row r="10">
      <c r="A10" s="12" t="inlineStr">
        <is>
          <t>% da renda que sobrou</t>
        </is>
      </c>
      <c r="B10" s="19">
        <f>IF(B5=0,0,B9/B5)</f>
        <v/>
      </c>
      <c r="C10" s="19">
        <f>IF(C5=0,0,C9/C5)</f>
        <v/>
      </c>
      <c r="D10" s="19">
        <f>IF(D5=0,0,D9/D5)</f>
        <v/>
      </c>
      <c r="E10" s="19">
        <f>IF(E5=0,0,E9/E5)</f>
        <v/>
      </c>
      <c r="F10" s="19">
        <f>IF(F5=0,0,F9/F5)</f>
        <v/>
      </c>
      <c r="G10" s="19">
        <f>IF(G5=0,0,G9/G5)</f>
        <v/>
      </c>
      <c r="H10" s="19">
        <f>IF(H5=0,0,H9/H5)</f>
        <v/>
      </c>
      <c r="I10" s="19">
        <f>IF(I5=0,0,I9/I5)</f>
        <v/>
      </c>
      <c r="J10" s="19">
        <f>IF(J5=0,0,J9/J5)</f>
        <v/>
      </c>
      <c r="K10" s="19">
        <f>IF(K5=0,0,K9/K5)</f>
        <v/>
      </c>
      <c r="L10" s="19">
        <f>IF(L5=0,0,L9/L5)</f>
        <v/>
      </c>
      <c r="M10" s="19">
        <f>IF(M5=0,0,M9/M5)</f>
        <v/>
      </c>
      <c r="N10" s="20">
        <f>IF(N5=0,0,N9/N5)</f>
        <v/>
      </c>
    </row>
    <row r="11">
      <c r="A11" s="12" t="inlineStr">
        <is>
          <t>Como foi o mês</t>
        </is>
      </c>
      <c r="B11" s="21">
        <f>IF(B5=0,"",IF(B9&lt;0,"No vermelho",IF(B10&lt;0.1,"Apertado",IF(B10&lt;0.2,"No caminho","Mandou bem"))))</f>
        <v/>
      </c>
      <c r="C11" s="21">
        <f>IF(C5=0,"",IF(C9&lt;0,"No vermelho",IF(C10&lt;0.1,"Apertado",IF(C10&lt;0.2,"No caminho","Mandou bem"))))</f>
        <v/>
      </c>
      <c r="D11" s="21">
        <f>IF(D5=0,"",IF(D9&lt;0,"No vermelho",IF(D10&lt;0.1,"Apertado",IF(D10&lt;0.2,"No caminho","Mandou bem"))))</f>
        <v/>
      </c>
      <c r="E11" s="21">
        <f>IF(E5=0,"",IF(E9&lt;0,"No vermelho",IF(E10&lt;0.1,"Apertado",IF(E10&lt;0.2,"No caminho","Mandou bem"))))</f>
        <v/>
      </c>
      <c r="F11" s="21">
        <f>IF(F5=0,"",IF(F9&lt;0,"No vermelho",IF(F10&lt;0.1,"Apertado",IF(F10&lt;0.2,"No caminho","Mandou bem"))))</f>
        <v/>
      </c>
      <c r="G11" s="21">
        <f>IF(G5=0,"",IF(G9&lt;0,"No vermelho",IF(G10&lt;0.1,"Apertado",IF(G10&lt;0.2,"No caminho","Mandou bem"))))</f>
        <v/>
      </c>
      <c r="H11" s="21">
        <f>IF(H5=0,"",IF(H9&lt;0,"No vermelho",IF(H10&lt;0.1,"Apertado",IF(H10&lt;0.2,"No caminho","Mandou bem"))))</f>
        <v/>
      </c>
      <c r="I11" s="21">
        <f>IF(I5=0,"",IF(I9&lt;0,"No vermelho",IF(I10&lt;0.1,"Apertado",IF(I10&lt;0.2,"No caminho","Mandou bem"))))</f>
        <v/>
      </c>
      <c r="J11" s="21">
        <f>IF(J5=0,"",IF(J9&lt;0,"No vermelho",IF(J10&lt;0.1,"Apertado",IF(J10&lt;0.2,"No caminho","Mandou bem"))))</f>
        <v/>
      </c>
      <c r="K11" s="21">
        <f>IF(K5=0,"",IF(K9&lt;0,"No vermelho",IF(K10&lt;0.1,"Apertado",IF(K10&lt;0.2,"No caminho","Mandou bem"))))</f>
        <v/>
      </c>
      <c r="L11" s="21">
        <f>IF(L5=0,"",IF(L9&lt;0,"No vermelho",IF(L10&lt;0.1,"Apertado",IF(L10&lt;0.2,"No caminho","Mandou bem"))))</f>
        <v/>
      </c>
      <c r="M11" s="21">
        <f>IF(M5=0,"",IF(M9&lt;0,"No vermelho",IF(M10&lt;0.1,"Apertado",IF(M10&lt;0.2,"No caminho","Mandou bem"))))</f>
        <v/>
      </c>
      <c r="N11" s="22" t="n"/>
    </row>
    <row r="14">
      <c r="B14" s="23" t="inlineStr">
        <is>
          <t>Reserva de emergência</t>
        </is>
      </c>
      <c r="G14" s="23" t="inlineStr">
        <is>
          <t>Plantões</t>
        </is>
      </c>
    </row>
    <row r="15">
      <c r="B15" s="12" t="inlineStr">
        <is>
          <t>Meta</t>
        </is>
      </c>
      <c r="C15" s="22" t="n"/>
      <c r="D15" s="14">
        <f>Reserva!B6</f>
        <v/>
      </c>
      <c r="G15" s="12" t="inlineStr">
        <is>
          <t>Total no ano</t>
        </is>
      </c>
      <c r="H15" s="22" t="n"/>
      <c r="I15" s="14">
        <f>Plantões!C4</f>
        <v/>
      </c>
    </row>
    <row r="16">
      <c r="B16" s="12" t="inlineStr">
        <is>
          <t>Já guardado</t>
        </is>
      </c>
      <c r="C16" s="22" t="n"/>
      <c r="D16" s="14">
        <f>Reserva!B7</f>
        <v/>
      </c>
      <c r="G16" s="12" t="inlineStr">
        <is>
          <t>Já recebido</t>
        </is>
      </c>
      <c r="H16" s="22" t="n"/>
      <c r="I16" s="14">
        <f>Plantões!C5</f>
        <v/>
      </c>
    </row>
    <row r="17">
      <c r="B17" s="12" t="inlineStr">
        <is>
          <t>Progresso</t>
        </is>
      </c>
      <c r="C17" s="22" t="n"/>
      <c r="D17" s="20">
        <f>Reserva!B9</f>
        <v/>
      </c>
      <c r="G17" s="12" t="inlineStr">
        <is>
          <t>Ainda a receber</t>
        </is>
      </c>
      <c r="H17" s="22" t="n"/>
      <c r="I17" s="14">
        <f>Plantões!C6</f>
        <v/>
      </c>
    </row>
    <row r="19">
      <c r="B19" s="24" t="inlineStr">
        <is>
          <t>Referência de leitura: sobrou menos de 10% = mês apertado • 10 a 20% = no caminho • acima de 20% = mandou bem</t>
        </is>
      </c>
    </row>
  </sheetData>
  <mergeCells count="6">
    <mergeCell ref="B16:C16"/>
    <mergeCell ref="B15:C15"/>
    <mergeCell ref="G16:H16"/>
    <mergeCell ref="G15:H15"/>
    <mergeCell ref="B17:C17"/>
    <mergeCell ref="G17:H1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9E5B"/>
    <outlinePr summaryBelow="1" summaryRight="1"/>
    <pageSetUpPr/>
  </sheetPr>
  <dimension ref="A1:N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13" customWidth="1" min="14" max="14"/>
  </cols>
  <sheetData>
    <row r="1">
      <c r="A1" s="8" t="inlineStr">
        <is>
          <t>Receitas</t>
        </is>
      </c>
    </row>
    <row r="2">
      <c r="A2" s="9" t="inlineStr">
        <is>
          <t>Preencha os valores em azul. Os totais calculam sozinhos.</t>
        </is>
      </c>
    </row>
    <row r="4">
      <c r="A4" s="10" t="inlineStr">
        <is>
          <t>Receitas</t>
        </is>
      </c>
      <c r="B4" s="11" t="inlineStr">
        <is>
          <t>Jan</t>
        </is>
      </c>
      <c r="C4" s="11" t="inlineStr">
        <is>
          <t>Fev</t>
        </is>
      </c>
      <c r="D4" s="11" t="inlineStr">
        <is>
          <t>Mar</t>
        </is>
      </c>
      <c r="E4" s="11" t="inlineStr">
        <is>
          <t>Abr</t>
        </is>
      </c>
      <c r="F4" s="11" t="inlineStr">
        <is>
          <t>Mai</t>
        </is>
      </c>
      <c r="G4" s="11" t="inlineStr">
        <is>
          <t>Jun</t>
        </is>
      </c>
      <c r="H4" s="11" t="inlineStr">
        <is>
          <t>Jul</t>
        </is>
      </c>
      <c r="I4" s="11" t="inlineStr">
        <is>
          <t>Ago</t>
        </is>
      </c>
      <c r="J4" s="11" t="inlineStr">
        <is>
          <t>Set</t>
        </is>
      </c>
      <c r="K4" s="11" t="inlineStr">
        <is>
          <t>Out</t>
        </is>
      </c>
      <c r="L4" s="11" t="inlineStr">
        <is>
          <t>Nov</t>
        </is>
      </c>
      <c r="M4" s="11" t="inlineStr">
        <is>
          <t>Dez</t>
        </is>
      </c>
      <c r="N4" s="11" t="inlineStr">
        <is>
          <t>Total do ano</t>
        </is>
      </c>
    </row>
    <row r="5">
      <c r="A5" s="12" t="inlineStr">
        <is>
          <t>Bolsa de residência</t>
        </is>
      </c>
      <c r="B5" s="25" t="n">
        <v>0</v>
      </c>
      <c r="C5" s="25" t="n">
        <v>0</v>
      </c>
      <c r="D5" s="25" t="n">
        <v>0</v>
      </c>
      <c r="E5" s="25" t="n">
        <v>0</v>
      </c>
      <c r="F5" s="25" t="n">
        <v>0</v>
      </c>
      <c r="G5" s="25" t="n">
        <v>0</v>
      </c>
      <c r="H5" s="25" t="n">
        <v>0</v>
      </c>
      <c r="I5" s="25" t="n">
        <v>0</v>
      </c>
      <c r="J5" s="25" t="n">
        <v>0</v>
      </c>
      <c r="K5" s="25" t="n">
        <v>0</v>
      </c>
      <c r="L5" s="25" t="n">
        <v>0</v>
      </c>
      <c r="M5" s="25" t="n">
        <v>0</v>
      </c>
      <c r="N5" s="13">
        <f>SUM(B5:M5)</f>
        <v/>
      </c>
    </row>
    <row r="6">
      <c r="A6" s="26" t="inlineStr">
        <is>
          <t>Salário CLT</t>
        </is>
      </c>
      <c r="B6" s="27" t="n">
        <v>0</v>
      </c>
      <c r="C6" s="27" t="n">
        <v>0</v>
      </c>
      <c r="D6" s="27" t="n">
        <v>0</v>
      </c>
      <c r="E6" s="27" t="n">
        <v>0</v>
      </c>
      <c r="F6" s="27" t="n">
        <v>0</v>
      </c>
      <c r="G6" s="27" t="n">
        <v>0</v>
      </c>
      <c r="H6" s="27" t="n">
        <v>0</v>
      </c>
      <c r="I6" s="27" t="n">
        <v>0</v>
      </c>
      <c r="J6" s="27" t="n">
        <v>0</v>
      </c>
      <c r="K6" s="27" t="n">
        <v>0</v>
      </c>
      <c r="L6" s="27" t="n">
        <v>0</v>
      </c>
      <c r="M6" s="27" t="n">
        <v>0</v>
      </c>
      <c r="N6" s="13">
        <f>SUM(B6:M6)</f>
        <v/>
      </c>
    </row>
    <row r="7">
      <c r="A7" s="12" t="inlineStr">
        <is>
          <t>Plantões (já recebidos)</t>
        </is>
      </c>
      <c r="B7" s="25" t="n">
        <v>0</v>
      </c>
      <c r="C7" s="25" t="n">
        <v>0</v>
      </c>
      <c r="D7" s="25" t="n">
        <v>0</v>
      </c>
      <c r="E7" s="25" t="n">
        <v>0</v>
      </c>
      <c r="F7" s="25" t="n">
        <v>0</v>
      </c>
      <c r="G7" s="25" t="n">
        <v>0</v>
      </c>
      <c r="H7" s="25" t="n">
        <v>0</v>
      </c>
      <c r="I7" s="25" t="n">
        <v>0</v>
      </c>
      <c r="J7" s="25" t="n">
        <v>0</v>
      </c>
      <c r="K7" s="25" t="n">
        <v>0</v>
      </c>
      <c r="L7" s="25" t="n">
        <v>0</v>
      </c>
      <c r="M7" s="25" t="n">
        <v>0</v>
      </c>
      <c r="N7" s="13">
        <f>SUM(B7:M7)</f>
        <v/>
      </c>
    </row>
    <row r="8">
      <c r="A8" s="26" t="inlineStr">
        <is>
          <t>Consultório / atendimentos PJ</t>
        </is>
      </c>
      <c r="B8" s="27" t="n">
        <v>0</v>
      </c>
      <c r="C8" s="27" t="n">
        <v>0</v>
      </c>
      <c r="D8" s="27" t="n">
        <v>0</v>
      </c>
      <c r="E8" s="27" t="n">
        <v>0</v>
      </c>
      <c r="F8" s="27" t="n">
        <v>0</v>
      </c>
      <c r="G8" s="27" t="n">
        <v>0</v>
      </c>
      <c r="H8" s="27" t="n">
        <v>0</v>
      </c>
      <c r="I8" s="27" t="n">
        <v>0</v>
      </c>
      <c r="J8" s="27" t="n">
        <v>0</v>
      </c>
      <c r="K8" s="27" t="n">
        <v>0</v>
      </c>
      <c r="L8" s="27" t="n">
        <v>0</v>
      </c>
      <c r="M8" s="27" t="n">
        <v>0</v>
      </c>
      <c r="N8" s="13">
        <f>SUM(B8:M8)</f>
        <v/>
      </c>
    </row>
    <row r="9">
      <c r="A9" s="12" t="inlineStr">
        <is>
          <t>Aulas, preceptoria e outros bicos</t>
        </is>
      </c>
      <c r="B9" s="25" t="n">
        <v>0</v>
      </c>
      <c r="C9" s="25" t="n">
        <v>0</v>
      </c>
      <c r="D9" s="25" t="n">
        <v>0</v>
      </c>
      <c r="E9" s="25" t="n">
        <v>0</v>
      </c>
      <c r="F9" s="25" t="n">
        <v>0</v>
      </c>
      <c r="G9" s="25" t="n">
        <v>0</v>
      </c>
      <c r="H9" s="25" t="n">
        <v>0</v>
      </c>
      <c r="I9" s="25" t="n">
        <v>0</v>
      </c>
      <c r="J9" s="25" t="n">
        <v>0</v>
      </c>
      <c r="K9" s="25" t="n">
        <v>0</v>
      </c>
      <c r="L9" s="25" t="n">
        <v>0</v>
      </c>
      <c r="M9" s="25" t="n">
        <v>0</v>
      </c>
      <c r="N9" s="13">
        <f>SUM(B9:M9)</f>
        <v/>
      </c>
    </row>
    <row r="10">
      <c r="A10" s="26" t="inlineStr">
        <is>
          <t>Outras rendas</t>
        </is>
      </c>
      <c r="B10" s="27" t="n">
        <v>0</v>
      </c>
      <c r="C10" s="27" t="n">
        <v>0</v>
      </c>
      <c r="D10" s="27" t="n">
        <v>0</v>
      </c>
      <c r="E10" s="27" t="n">
        <v>0</v>
      </c>
      <c r="F10" s="27" t="n">
        <v>0</v>
      </c>
      <c r="G10" s="27" t="n">
        <v>0</v>
      </c>
      <c r="H10" s="27" t="n">
        <v>0</v>
      </c>
      <c r="I10" s="27" t="n">
        <v>0</v>
      </c>
      <c r="J10" s="27" t="n">
        <v>0</v>
      </c>
      <c r="K10" s="27" t="n">
        <v>0</v>
      </c>
      <c r="L10" s="27" t="n">
        <v>0</v>
      </c>
      <c r="M10" s="27" t="n">
        <v>0</v>
      </c>
      <c r="N10" s="13">
        <f>SUM(B10:M10)</f>
        <v/>
      </c>
    </row>
    <row r="11">
      <c r="A11" s="17" t="inlineStr">
        <is>
          <t>Total de receitas</t>
        </is>
      </c>
      <c r="B11" s="14">
        <f>SUM(B5:B10)</f>
        <v/>
      </c>
      <c r="C11" s="14">
        <f>SUM(C5:C10)</f>
        <v/>
      </c>
      <c r="D11" s="14">
        <f>SUM(D5:D10)</f>
        <v/>
      </c>
      <c r="E11" s="14">
        <f>SUM(E5:E10)</f>
        <v/>
      </c>
      <c r="F11" s="14">
        <f>SUM(F5:F10)</f>
        <v/>
      </c>
      <c r="G11" s="14">
        <f>SUM(G5:G10)</f>
        <v/>
      </c>
      <c r="H11" s="14">
        <f>SUM(H5:H10)</f>
        <v/>
      </c>
      <c r="I11" s="14">
        <f>SUM(I5:I10)</f>
        <v/>
      </c>
      <c r="J11" s="14">
        <f>SUM(J5:J10)</f>
        <v/>
      </c>
      <c r="K11" s="14">
        <f>SUM(K5:K10)</f>
        <v/>
      </c>
      <c r="L11" s="14">
        <f>SUM(L5:L10)</f>
        <v/>
      </c>
      <c r="M11" s="14">
        <f>SUM(M5:M10)</f>
        <v/>
      </c>
      <c r="N11" s="14">
        <f>SUM(N5:N10)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F2A37"/>
    <outlinePr summaryBelow="1" summaryRight="1"/>
    <pageSetUpPr/>
  </sheetPr>
  <dimension ref="A1:N1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13" customWidth="1" min="14" max="14"/>
  </cols>
  <sheetData>
    <row r="1">
      <c r="A1" s="8" t="inlineStr">
        <is>
          <t>Despesas fixas</t>
        </is>
      </c>
    </row>
    <row r="2">
      <c r="A2" s="9" t="inlineStr">
        <is>
          <t>Preencha os valores em azul. Os totais calculam sozinhos.</t>
        </is>
      </c>
    </row>
    <row r="4">
      <c r="A4" s="10" t="inlineStr">
        <is>
          <t>Despesas fixas</t>
        </is>
      </c>
      <c r="B4" s="11" t="inlineStr">
        <is>
          <t>Jan</t>
        </is>
      </c>
      <c r="C4" s="11" t="inlineStr">
        <is>
          <t>Fev</t>
        </is>
      </c>
      <c r="D4" s="11" t="inlineStr">
        <is>
          <t>Mar</t>
        </is>
      </c>
      <c r="E4" s="11" t="inlineStr">
        <is>
          <t>Abr</t>
        </is>
      </c>
      <c r="F4" s="11" t="inlineStr">
        <is>
          <t>Mai</t>
        </is>
      </c>
      <c r="G4" s="11" t="inlineStr">
        <is>
          <t>Jun</t>
        </is>
      </c>
      <c r="H4" s="11" t="inlineStr">
        <is>
          <t>Jul</t>
        </is>
      </c>
      <c r="I4" s="11" t="inlineStr">
        <is>
          <t>Ago</t>
        </is>
      </c>
      <c r="J4" s="11" t="inlineStr">
        <is>
          <t>Set</t>
        </is>
      </c>
      <c r="K4" s="11" t="inlineStr">
        <is>
          <t>Out</t>
        </is>
      </c>
      <c r="L4" s="11" t="inlineStr">
        <is>
          <t>Nov</t>
        </is>
      </c>
      <c r="M4" s="11" t="inlineStr">
        <is>
          <t>Dez</t>
        </is>
      </c>
      <c r="N4" s="11" t="inlineStr">
        <is>
          <t>Total do ano</t>
        </is>
      </c>
    </row>
    <row r="5">
      <c r="A5" s="12" t="inlineStr">
        <is>
          <t>Moradia (aluguel ou financiamento)</t>
        </is>
      </c>
      <c r="B5" s="25" t="n">
        <v>0</v>
      </c>
      <c r="C5" s="25" t="n">
        <v>0</v>
      </c>
      <c r="D5" s="25" t="n">
        <v>0</v>
      </c>
      <c r="E5" s="25" t="n">
        <v>0</v>
      </c>
      <c r="F5" s="25" t="n">
        <v>0</v>
      </c>
      <c r="G5" s="25" t="n">
        <v>0</v>
      </c>
      <c r="H5" s="25" t="n">
        <v>0</v>
      </c>
      <c r="I5" s="25" t="n">
        <v>0</v>
      </c>
      <c r="J5" s="25" t="n">
        <v>0</v>
      </c>
      <c r="K5" s="25" t="n">
        <v>0</v>
      </c>
      <c r="L5" s="25" t="n">
        <v>0</v>
      </c>
      <c r="M5" s="25" t="n">
        <v>0</v>
      </c>
      <c r="N5" s="13">
        <f>SUM(B5:M5)</f>
        <v/>
      </c>
    </row>
    <row r="6">
      <c r="A6" s="26" t="inlineStr">
        <is>
          <t>Condomínio, luz, água e gás</t>
        </is>
      </c>
      <c r="B6" s="27" t="n">
        <v>0</v>
      </c>
      <c r="C6" s="27" t="n">
        <v>0</v>
      </c>
      <c r="D6" s="27" t="n">
        <v>0</v>
      </c>
      <c r="E6" s="27" t="n">
        <v>0</v>
      </c>
      <c r="F6" s="27" t="n">
        <v>0</v>
      </c>
      <c r="G6" s="27" t="n">
        <v>0</v>
      </c>
      <c r="H6" s="27" t="n">
        <v>0</v>
      </c>
      <c r="I6" s="27" t="n">
        <v>0</v>
      </c>
      <c r="J6" s="27" t="n">
        <v>0</v>
      </c>
      <c r="K6" s="27" t="n">
        <v>0</v>
      </c>
      <c r="L6" s="27" t="n">
        <v>0</v>
      </c>
      <c r="M6" s="27" t="n">
        <v>0</v>
      </c>
      <c r="N6" s="13">
        <f>SUM(B6:M6)</f>
        <v/>
      </c>
    </row>
    <row r="7">
      <c r="A7" s="12" t="inlineStr">
        <is>
          <t>Internet e celular</t>
        </is>
      </c>
      <c r="B7" s="25" t="n">
        <v>0</v>
      </c>
      <c r="C7" s="25" t="n">
        <v>0</v>
      </c>
      <c r="D7" s="25" t="n">
        <v>0</v>
      </c>
      <c r="E7" s="25" t="n">
        <v>0</v>
      </c>
      <c r="F7" s="25" t="n">
        <v>0</v>
      </c>
      <c r="G7" s="25" t="n">
        <v>0</v>
      </c>
      <c r="H7" s="25" t="n">
        <v>0</v>
      </c>
      <c r="I7" s="25" t="n">
        <v>0</v>
      </c>
      <c r="J7" s="25" t="n">
        <v>0</v>
      </c>
      <c r="K7" s="25" t="n">
        <v>0</v>
      </c>
      <c r="L7" s="25" t="n">
        <v>0</v>
      </c>
      <c r="M7" s="25" t="n">
        <v>0</v>
      </c>
      <c r="N7" s="13">
        <f>SUM(B7:M7)</f>
        <v/>
      </c>
    </row>
    <row r="8">
      <c r="A8" s="26" t="inlineStr">
        <is>
          <t>Transporte (carro, app, combustível)</t>
        </is>
      </c>
      <c r="B8" s="27" t="n">
        <v>0</v>
      </c>
      <c r="C8" s="27" t="n">
        <v>0</v>
      </c>
      <c r="D8" s="27" t="n">
        <v>0</v>
      </c>
      <c r="E8" s="27" t="n">
        <v>0</v>
      </c>
      <c r="F8" s="27" t="n">
        <v>0</v>
      </c>
      <c r="G8" s="27" t="n">
        <v>0</v>
      </c>
      <c r="H8" s="27" t="n">
        <v>0</v>
      </c>
      <c r="I8" s="27" t="n">
        <v>0</v>
      </c>
      <c r="J8" s="27" t="n">
        <v>0</v>
      </c>
      <c r="K8" s="27" t="n">
        <v>0</v>
      </c>
      <c r="L8" s="27" t="n">
        <v>0</v>
      </c>
      <c r="M8" s="27" t="n">
        <v>0</v>
      </c>
      <c r="N8" s="13">
        <f>SUM(B8:M8)</f>
        <v/>
      </c>
    </row>
    <row r="9">
      <c r="A9" s="12" t="inlineStr">
        <is>
          <t>Mercado / alimentação em casa</t>
        </is>
      </c>
      <c r="B9" s="25" t="n">
        <v>0</v>
      </c>
      <c r="C9" s="25" t="n">
        <v>0</v>
      </c>
      <c r="D9" s="25" t="n">
        <v>0</v>
      </c>
      <c r="E9" s="25" t="n">
        <v>0</v>
      </c>
      <c r="F9" s="25" t="n">
        <v>0</v>
      </c>
      <c r="G9" s="25" t="n">
        <v>0</v>
      </c>
      <c r="H9" s="25" t="n">
        <v>0</v>
      </c>
      <c r="I9" s="25" t="n">
        <v>0</v>
      </c>
      <c r="J9" s="25" t="n">
        <v>0</v>
      </c>
      <c r="K9" s="25" t="n">
        <v>0</v>
      </c>
      <c r="L9" s="25" t="n">
        <v>0</v>
      </c>
      <c r="M9" s="25" t="n">
        <v>0</v>
      </c>
      <c r="N9" s="13">
        <f>SUM(B9:M9)</f>
        <v/>
      </c>
    </row>
    <row r="10">
      <c r="A10" s="26" t="inlineStr">
        <is>
          <t>Plano de saúde</t>
        </is>
      </c>
      <c r="B10" s="27" t="n">
        <v>0</v>
      </c>
      <c r="C10" s="27" t="n">
        <v>0</v>
      </c>
      <c r="D10" s="27" t="n">
        <v>0</v>
      </c>
      <c r="E10" s="27" t="n">
        <v>0</v>
      </c>
      <c r="F10" s="27" t="n">
        <v>0</v>
      </c>
      <c r="G10" s="27" t="n">
        <v>0</v>
      </c>
      <c r="H10" s="27" t="n">
        <v>0</v>
      </c>
      <c r="I10" s="27" t="n">
        <v>0</v>
      </c>
      <c r="J10" s="27" t="n">
        <v>0</v>
      </c>
      <c r="K10" s="27" t="n">
        <v>0</v>
      </c>
      <c r="L10" s="27" t="n">
        <v>0</v>
      </c>
      <c r="M10" s="27" t="n">
        <v>0</v>
      </c>
      <c r="N10" s="13">
        <f>SUM(B10:M10)</f>
        <v/>
      </c>
    </row>
    <row r="11">
      <c r="A11" s="12" t="inlineStr">
        <is>
          <t>Anuidade CRM e sindicato (divida por 12)</t>
        </is>
      </c>
      <c r="B11" s="25" t="n">
        <v>0</v>
      </c>
      <c r="C11" s="25" t="n">
        <v>0</v>
      </c>
      <c r="D11" s="25" t="n">
        <v>0</v>
      </c>
      <c r="E11" s="25" t="n">
        <v>0</v>
      </c>
      <c r="F11" s="25" t="n">
        <v>0</v>
      </c>
      <c r="G11" s="25" t="n">
        <v>0</v>
      </c>
      <c r="H11" s="25" t="n">
        <v>0</v>
      </c>
      <c r="I11" s="25" t="n">
        <v>0</v>
      </c>
      <c r="J11" s="25" t="n">
        <v>0</v>
      </c>
      <c r="K11" s="25" t="n">
        <v>0</v>
      </c>
      <c r="L11" s="25" t="n">
        <v>0</v>
      </c>
      <c r="M11" s="25" t="n">
        <v>0</v>
      </c>
      <c r="N11" s="13">
        <f>SUM(B11:M11)</f>
        <v/>
      </c>
    </row>
    <row r="12">
      <c r="A12" s="26" t="inlineStr">
        <is>
          <t>Seguro de responsabilidade civil</t>
        </is>
      </c>
      <c r="B12" s="27" t="n">
        <v>0</v>
      </c>
      <c r="C12" s="27" t="n">
        <v>0</v>
      </c>
      <c r="D12" s="27" t="n">
        <v>0</v>
      </c>
      <c r="E12" s="27" t="n">
        <v>0</v>
      </c>
      <c r="F12" s="27" t="n">
        <v>0</v>
      </c>
      <c r="G12" s="27" t="n">
        <v>0</v>
      </c>
      <c r="H12" s="27" t="n">
        <v>0</v>
      </c>
      <c r="I12" s="27" t="n">
        <v>0</v>
      </c>
      <c r="J12" s="27" t="n">
        <v>0</v>
      </c>
      <c r="K12" s="27" t="n">
        <v>0</v>
      </c>
      <c r="L12" s="27" t="n">
        <v>0</v>
      </c>
      <c r="M12" s="27" t="n">
        <v>0</v>
      </c>
      <c r="N12" s="13">
        <f>SUM(B12:M12)</f>
        <v/>
      </c>
    </row>
    <row r="13">
      <c r="A13" s="12" t="inlineStr">
        <is>
          <t>Cursos, pós e mensalidades</t>
        </is>
      </c>
      <c r="B13" s="25" t="n">
        <v>0</v>
      </c>
      <c r="C13" s="25" t="n">
        <v>0</v>
      </c>
      <c r="D13" s="25" t="n">
        <v>0</v>
      </c>
      <c r="E13" s="25" t="n">
        <v>0</v>
      </c>
      <c r="F13" s="25" t="n">
        <v>0</v>
      </c>
      <c r="G13" s="25" t="n">
        <v>0</v>
      </c>
      <c r="H13" s="25" t="n">
        <v>0</v>
      </c>
      <c r="I13" s="25" t="n">
        <v>0</v>
      </c>
      <c r="J13" s="25" t="n">
        <v>0</v>
      </c>
      <c r="K13" s="25" t="n">
        <v>0</v>
      </c>
      <c r="L13" s="25" t="n">
        <v>0</v>
      </c>
      <c r="M13" s="25" t="n">
        <v>0</v>
      </c>
      <c r="N13" s="13">
        <f>SUM(B13:M13)</f>
        <v/>
      </c>
    </row>
    <row r="14">
      <c r="A14" s="26" t="inlineStr">
        <is>
          <t>Parcelas de dívidas (FIES, empréstimos)</t>
        </is>
      </c>
      <c r="B14" s="27" t="n">
        <v>0</v>
      </c>
      <c r="C14" s="27" t="n">
        <v>0</v>
      </c>
      <c r="D14" s="27" t="n">
        <v>0</v>
      </c>
      <c r="E14" s="27" t="n">
        <v>0</v>
      </c>
      <c r="F14" s="27" t="n">
        <v>0</v>
      </c>
      <c r="G14" s="27" t="n">
        <v>0</v>
      </c>
      <c r="H14" s="27" t="n">
        <v>0</v>
      </c>
      <c r="I14" s="27" t="n">
        <v>0</v>
      </c>
      <c r="J14" s="27" t="n">
        <v>0</v>
      </c>
      <c r="K14" s="27" t="n">
        <v>0</v>
      </c>
      <c r="L14" s="27" t="n">
        <v>0</v>
      </c>
      <c r="M14" s="27" t="n">
        <v>0</v>
      </c>
      <c r="N14" s="13">
        <f>SUM(B14:M14)</f>
        <v/>
      </c>
    </row>
    <row r="15">
      <c r="A15" s="12" t="inlineStr">
        <is>
          <t>Contador (se você é PJ)</t>
        </is>
      </c>
      <c r="B15" s="25" t="n">
        <v>0</v>
      </c>
      <c r="C15" s="25" t="n">
        <v>0</v>
      </c>
      <c r="D15" s="25" t="n">
        <v>0</v>
      </c>
      <c r="E15" s="25" t="n">
        <v>0</v>
      </c>
      <c r="F15" s="25" t="n">
        <v>0</v>
      </c>
      <c r="G15" s="25" t="n">
        <v>0</v>
      </c>
      <c r="H15" s="25" t="n">
        <v>0</v>
      </c>
      <c r="I15" s="25" t="n">
        <v>0</v>
      </c>
      <c r="J15" s="25" t="n">
        <v>0</v>
      </c>
      <c r="K15" s="25" t="n">
        <v>0</v>
      </c>
      <c r="L15" s="25" t="n">
        <v>0</v>
      </c>
      <c r="M15" s="25" t="n">
        <v>0</v>
      </c>
      <c r="N15" s="13">
        <f>SUM(B15:M15)</f>
        <v/>
      </c>
    </row>
    <row r="16">
      <c r="A16" s="26" t="inlineStr">
        <is>
          <t>Outras despesas fixas</t>
        </is>
      </c>
      <c r="B16" s="27" t="n">
        <v>0</v>
      </c>
      <c r="C16" s="27" t="n">
        <v>0</v>
      </c>
      <c r="D16" s="27" t="n">
        <v>0</v>
      </c>
      <c r="E16" s="27" t="n">
        <v>0</v>
      </c>
      <c r="F16" s="27" t="n">
        <v>0</v>
      </c>
      <c r="G16" s="27" t="n">
        <v>0</v>
      </c>
      <c r="H16" s="27" t="n">
        <v>0</v>
      </c>
      <c r="I16" s="27" t="n">
        <v>0</v>
      </c>
      <c r="J16" s="27" t="n">
        <v>0</v>
      </c>
      <c r="K16" s="27" t="n">
        <v>0</v>
      </c>
      <c r="L16" s="27" t="n">
        <v>0</v>
      </c>
      <c r="M16" s="27" t="n">
        <v>0</v>
      </c>
      <c r="N16" s="13">
        <f>SUM(B16:M16)</f>
        <v/>
      </c>
    </row>
    <row r="17">
      <c r="A17" s="17" t="inlineStr">
        <is>
          <t>Total de despesas fixas</t>
        </is>
      </c>
      <c r="B17" s="14">
        <f>SUM(B5:B16)</f>
        <v/>
      </c>
      <c r="C17" s="14">
        <f>SUM(C5:C16)</f>
        <v/>
      </c>
      <c r="D17" s="14">
        <f>SUM(D5:D16)</f>
        <v/>
      </c>
      <c r="E17" s="14">
        <f>SUM(E5:E16)</f>
        <v/>
      </c>
      <c r="F17" s="14">
        <f>SUM(F5:F16)</f>
        <v/>
      </c>
      <c r="G17" s="14">
        <f>SUM(G5:G16)</f>
        <v/>
      </c>
      <c r="H17" s="14">
        <f>SUM(H5:H16)</f>
        <v/>
      </c>
      <c r="I17" s="14">
        <f>SUM(I5:I16)</f>
        <v/>
      </c>
      <c r="J17" s="14">
        <f>SUM(J5:J16)</f>
        <v/>
      </c>
      <c r="K17" s="14">
        <f>SUM(K5:K16)</f>
        <v/>
      </c>
      <c r="L17" s="14">
        <f>SUM(L5:L16)</f>
        <v/>
      </c>
      <c r="M17" s="14">
        <f>SUM(M5:M16)</f>
        <v/>
      </c>
      <c r="N17" s="14">
        <f>SUM(N5:N16)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BF00"/>
    <outlinePr summaryBelow="1" summaryRight="1"/>
    <pageSetUpPr/>
  </sheetPr>
  <dimension ref="A1:N1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13" customWidth="1" min="14" max="14"/>
  </cols>
  <sheetData>
    <row r="1">
      <c r="A1" s="8" t="inlineStr">
        <is>
          <t>Despesas variáveis</t>
        </is>
      </c>
    </row>
    <row r="2">
      <c r="A2" s="9" t="inlineStr">
        <is>
          <t>Preencha os valores em azul. Os totais calculam sozinhos.</t>
        </is>
      </c>
    </row>
    <row r="4">
      <c r="A4" s="10" t="inlineStr">
        <is>
          <t>Despesas variáveis</t>
        </is>
      </c>
      <c r="B4" s="11" t="inlineStr">
        <is>
          <t>Jan</t>
        </is>
      </c>
      <c r="C4" s="11" t="inlineStr">
        <is>
          <t>Fev</t>
        </is>
      </c>
      <c r="D4" s="11" t="inlineStr">
        <is>
          <t>Mar</t>
        </is>
      </c>
      <c r="E4" s="11" t="inlineStr">
        <is>
          <t>Abr</t>
        </is>
      </c>
      <c r="F4" s="11" t="inlineStr">
        <is>
          <t>Mai</t>
        </is>
      </c>
      <c r="G4" s="11" t="inlineStr">
        <is>
          <t>Jun</t>
        </is>
      </c>
      <c r="H4" s="11" t="inlineStr">
        <is>
          <t>Jul</t>
        </is>
      </c>
      <c r="I4" s="11" t="inlineStr">
        <is>
          <t>Ago</t>
        </is>
      </c>
      <c r="J4" s="11" t="inlineStr">
        <is>
          <t>Set</t>
        </is>
      </c>
      <c r="K4" s="11" t="inlineStr">
        <is>
          <t>Out</t>
        </is>
      </c>
      <c r="L4" s="11" t="inlineStr">
        <is>
          <t>Nov</t>
        </is>
      </c>
      <c r="M4" s="11" t="inlineStr">
        <is>
          <t>Dez</t>
        </is>
      </c>
      <c r="N4" s="11" t="inlineStr">
        <is>
          <t>Total do ano</t>
        </is>
      </c>
    </row>
    <row r="5">
      <c r="A5" s="12" t="inlineStr">
        <is>
          <t>Restaurantes e delivery</t>
        </is>
      </c>
      <c r="B5" s="25" t="n">
        <v>0</v>
      </c>
      <c r="C5" s="25" t="n">
        <v>0</v>
      </c>
      <c r="D5" s="25" t="n">
        <v>0</v>
      </c>
      <c r="E5" s="25" t="n">
        <v>0</v>
      </c>
      <c r="F5" s="25" t="n">
        <v>0</v>
      </c>
      <c r="G5" s="25" t="n">
        <v>0</v>
      </c>
      <c r="H5" s="25" t="n">
        <v>0</v>
      </c>
      <c r="I5" s="25" t="n">
        <v>0</v>
      </c>
      <c r="J5" s="25" t="n">
        <v>0</v>
      </c>
      <c r="K5" s="25" t="n">
        <v>0</v>
      </c>
      <c r="L5" s="25" t="n">
        <v>0</v>
      </c>
      <c r="M5" s="25" t="n">
        <v>0</v>
      </c>
      <c r="N5" s="13">
        <f>SUM(B5:M5)</f>
        <v/>
      </c>
    </row>
    <row r="6">
      <c r="A6" s="26" t="inlineStr">
        <is>
          <t>Lazer e viagens</t>
        </is>
      </c>
      <c r="B6" s="27" t="n">
        <v>0</v>
      </c>
      <c r="C6" s="27" t="n">
        <v>0</v>
      </c>
      <c r="D6" s="27" t="n">
        <v>0</v>
      </c>
      <c r="E6" s="27" t="n">
        <v>0</v>
      </c>
      <c r="F6" s="27" t="n">
        <v>0</v>
      </c>
      <c r="G6" s="27" t="n">
        <v>0</v>
      </c>
      <c r="H6" s="27" t="n">
        <v>0</v>
      </c>
      <c r="I6" s="27" t="n">
        <v>0</v>
      </c>
      <c r="J6" s="27" t="n">
        <v>0</v>
      </c>
      <c r="K6" s="27" t="n">
        <v>0</v>
      </c>
      <c r="L6" s="27" t="n">
        <v>0</v>
      </c>
      <c r="M6" s="27" t="n">
        <v>0</v>
      </c>
      <c r="N6" s="13">
        <f>SUM(B6:M6)</f>
        <v/>
      </c>
    </row>
    <row r="7">
      <c r="A7" s="12" t="inlineStr">
        <is>
          <t>Roupas e cuidados pessoais</t>
        </is>
      </c>
      <c r="B7" s="25" t="n">
        <v>0</v>
      </c>
      <c r="C7" s="25" t="n">
        <v>0</v>
      </c>
      <c r="D7" s="25" t="n">
        <v>0</v>
      </c>
      <c r="E7" s="25" t="n">
        <v>0</v>
      </c>
      <c r="F7" s="25" t="n">
        <v>0</v>
      </c>
      <c r="G7" s="25" t="n">
        <v>0</v>
      </c>
      <c r="H7" s="25" t="n">
        <v>0</v>
      </c>
      <c r="I7" s="25" t="n">
        <v>0</v>
      </c>
      <c r="J7" s="25" t="n">
        <v>0</v>
      </c>
      <c r="K7" s="25" t="n">
        <v>0</v>
      </c>
      <c r="L7" s="25" t="n">
        <v>0</v>
      </c>
      <c r="M7" s="25" t="n">
        <v>0</v>
      </c>
      <c r="N7" s="13">
        <f>SUM(B7:M7)</f>
        <v/>
      </c>
    </row>
    <row r="8">
      <c r="A8" s="26" t="inlineStr">
        <is>
          <t>Jaleco, materiais e equipamentos</t>
        </is>
      </c>
      <c r="B8" s="27" t="n">
        <v>0</v>
      </c>
      <c r="C8" s="27" t="n">
        <v>0</v>
      </c>
      <c r="D8" s="27" t="n">
        <v>0</v>
      </c>
      <c r="E8" s="27" t="n">
        <v>0</v>
      </c>
      <c r="F8" s="27" t="n">
        <v>0</v>
      </c>
      <c r="G8" s="27" t="n">
        <v>0</v>
      </c>
      <c r="H8" s="27" t="n">
        <v>0</v>
      </c>
      <c r="I8" s="27" t="n">
        <v>0</v>
      </c>
      <c r="J8" s="27" t="n">
        <v>0</v>
      </c>
      <c r="K8" s="27" t="n">
        <v>0</v>
      </c>
      <c r="L8" s="27" t="n">
        <v>0</v>
      </c>
      <c r="M8" s="27" t="n">
        <v>0</v>
      </c>
      <c r="N8" s="13">
        <f>SUM(B8:M8)</f>
        <v/>
      </c>
    </row>
    <row r="9">
      <c r="A9" s="12" t="inlineStr">
        <is>
          <t>Farmácia e saúde</t>
        </is>
      </c>
      <c r="B9" s="25" t="n">
        <v>0</v>
      </c>
      <c r="C9" s="25" t="n">
        <v>0</v>
      </c>
      <c r="D9" s="25" t="n">
        <v>0</v>
      </c>
      <c r="E9" s="25" t="n">
        <v>0</v>
      </c>
      <c r="F9" s="25" t="n">
        <v>0</v>
      </c>
      <c r="G9" s="25" t="n">
        <v>0</v>
      </c>
      <c r="H9" s="25" t="n">
        <v>0</v>
      </c>
      <c r="I9" s="25" t="n">
        <v>0</v>
      </c>
      <c r="J9" s="25" t="n">
        <v>0</v>
      </c>
      <c r="K9" s="25" t="n">
        <v>0</v>
      </c>
      <c r="L9" s="25" t="n">
        <v>0</v>
      </c>
      <c r="M9" s="25" t="n">
        <v>0</v>
      </c>
      <c r="N9" s="13">
        <f>SUM(B9:M9)</f>
        <v/>
      </c>
    </row>
    <row r="10">
      <c r="A10" s="26" t="inlineStr">
        <is>
          <t>Presentes e doações</t>
        </is>
      </c>
      <c r="B10" s="27" t="n">
        <v>0</v>
      </c>
      <c r="C10" s="27" t="n">
        <v>0</v>
      </c>
      <c r="D10" s="27" t="n">
        <v>0</v>
      </c>
      <c r="E10" s="27" t="n">
        <v>0</v>
      </c>
      <c r="F10" s="27" t="n">
        <v>0</v>
      </c>
      <c r="G10" s="27" t="n">
        <v>0</v>
      </c>
      <c r="H10" s="27" t="n">
        <v>0</v>
      </c>
      <c r="I10" s="27" t="n">
        <v>0</v>
      </c>
      <c r="J10" s="27" t="n">
        <v>0</v>
      </c>
      <c r="K10" s="27" t="n">
        <v>0</v>
      </c>
      <c r="L10" s="27" t="n">
        <v>0</v>
      </c>
      <c r="M10" s="27" t="n">
        <v>0</v>
      </c>
      <c r="N10" s="13">
        <f>SUM(B10:M10)</f>
        <v/>
      </c>
    </row>
    <row r="11">
      <c r="A11" s="12" t="inlineStr">
        <is>
          <t>Imprevistos</t>
        </is>
      </c>
      <c r="B11" s="25" t="n">
        <v>0</v>
      </c>
      <c r="C11" s="25" t="n">
        <v>0</v>
      </c>
      <c r="D11" s="25" t="n">
        <v>0</v>
      </c>
      <c r="E11" s="25" t="n">
        <v>0</v>
      </c>
      <c r="F11" s="25" t="n">
        <v>0</v>
      </c>
      <c r="G11" s="25" t="n">
        <v>0</v>
      </c>
      <c r="H11" s="25" t="n">
        <v>0</v>
      </c>
      <c r="I11" s="25" t="n">
        <v>0</v>
      </c>
      <c r="J11" s="25" t="n">
        <v>0</v>
      </c>
      <c r="K11" s="25" t="n">
        <v>0</v>
      </c>
      <c r="L11" s="25" t="n">
        <v>0</v>
      </c>
      <c r="M11" s="25" t="n">
        <v>0</v>
      </c>
      <c r="N11" s="13">
        <f>SUM(B11:M11)</f>
        <v/>
      </c>
    </row>
    <row r="12">
      <c r="A12" s="26" t="inlineStr">
        <is>
          <t>Outras despesas variáveis</t>
        </is>
      </c>
      <c r="B12" s="27" t="n">
        <v>0</v>
      </c>
      <c r="C12" s="27" t="n">
        <v>0</v>
      </c>
      <c r="D12" s="27" t="n">
        <v>0</v>
      </c>
      <c r="E12" s="27" t="n">
        <v>0</v>
      </c>
      <c r="F12" s="27" t="n">
        <v>0</v>
      </c>
      <c r="G12" s="27" t="n">
        <v>0</v>
      </c>
      <c r="H12" s="27" t="n">
        <v>0</v>
      </c>
      <c r="I12" s="27" t="n">
        <v>0</v>
      </c>
      <c r="J12" s="27" t="n">
        <v>0</v>
      </c>
      <c r="K12" s="27" t="n">
        <v>0</v>
      </c>
      <c r="L12" s="27" t="n">
        <v>0</v>
      </c>
      <c r="M12" s="27" t="n">
        <v>0</v>
      </c>
      <c r="N12" s="13">
        <f>SUM(B12:M12)</f>
        <v/>
      </c>
    </row>
    <row r="13">
      <c r="A13" s="17" t="inlineStr">
        <is>
          <t>Total de despesas variáveis</t>
        </is>
      </c>
      <c r="B13" s="14">
        <f>SUM(B5:B12)</f>
        <v/>
      </c>
      <c r="C13" s="14">
        <f>SUM(C5:C12)</f>
        <v/>
      </c>
      <c r="D13" s="14">
        <f>SUM(D5:D12)</f>
        <v/>
      </c>
      <c r="E13" s="14">
        <f>SUM(E5:E12)</f>
        <v/>
      </c>
      <c r="F13" s="14">
        <f>SUM(F5:F12)</f>
        <v/>
      </c>
      <c r="G13" s="14">
        <f>SUM(G5:G12)</f>
        <v/>
      </c>
      <c r="H13" s="14">
        <f>SUM(H5:H12)</f>
        <v/>
      </c>
      <c r="I13" s="14">
        <f>SUM(I5:I12)</f>
        <v/>
      </c>
      <c r="J13" s="14">
        <f>SUM(J5:J12)</f>
        <v/>
      </c>
      <c r="K13" s="14">
        <f>SUM(K5:K12)</f>
        <v/>
      </c>
      <c r="L13" s="14">
        <f>SUM(L5:L12)</f>
        <v/>
      </c>
      <c r="M13" s="14">
        <f>SUM(M5:M12)</f>
        <v/>
      </c>
      <c r="N13" s="14">
        <f>SUM(N5:N12)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B1F44"/>
    <outlinePr summaryBelow="1" summaryRight="1"/>
    <pageSetUpPr/>
  </sheetPr>
  <dimension ref="A1:F5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0" customWidth="1" min="3" max="3"/>
    <col width="14" customWidth="1" min="4" max="4"/>
    <col width="14" customWidth="1" min="5" max="5"/>
    <col width="12" customWidth="1" min="6" max="6"/>
  </cols>
  <sheetData>
    <row r="1">
      <c r="A1" s="8" t="inlineStr">
        <is>
          <t>Controle de plantões</t>
        </is>
      </c>
    </row>
    <row r="2">
      <c r="A2" s="9" t="inlineStr">
        <is>
          <t>Lança cada plantão aqui e marca quando o pagamento cair. Ninguém fica devendo plantão pra você.</t>
        </is>
      </c>
    </row>
    <row r="4">
      <c r="A4" s="17" t="inlineStr">
        <is>
          <t>Total em plantões no ano</t>
        </is>
      </c>
      <c r="B4" s="22" t="n"/>
      <c r="C4" s="14">
        <f>SUM(E9:E58)</f>
        <v/>
      </c>
      <c r="E4" s="24" t="inlineStr">
        <is>
          <t>Quando o plantão cair na conta, some ele na linha 'Plantões (já recebidos)' da aba Receitas.</t>
        </is>
      </c>
    </row>
    <row r="5">
      <c r="A5" s="17" t="inlineStr">
        <is>
          <t>Já recebido</t>
        </is>
      </c>
      <c r="B5" s="22" t="n"/>
      <c r="C5" s="14">
        <f>SUMIF(F9:F58,"Sim",E9:E58)</f>
        <v/>
      </c>
    </row>
    <row r="6">
      <c r="A6" s="17" t="inlineStr">
        <is>
          <t>Ainda a receber</t>
        </is>
      </c>
      <c r="B6" s="22" t="n"/>
      <c r="C6" s="14">
        <f>SUMIF(F9:F58,"Não",E9:E58)</f>
        <v/>
      </c>
    </row>
    <row r="8">
      <c r="A8" s="11" t="inlineStr">
        <is>
          <t>Data</t>
        </is>
      </c>
      <c r="B8" s="11" t="inlineStr">
        <is>
          <t>Hospital / local</t>
        </is>
      </c>
      <c r="C8" s="11" t="inlineStr">
        <is>
          <t>Horas</t>
        </is>
      </c>
      <c r="D8" s="11" t="inlineStr">
        <is>
          <t>Valor da hora</t>
        </is>
      </c>
      <c r="E8" s="11" t="inlineStr">
        <is>
          <t>Total</t>
        </is>
      </c>
      <c r="F8" s="11" t="inlineStr">
        <is>
          <t>Recebido?</t>
        </is>
      </c>
    </row>
    <row r="9">
      <c r="A9" s="28" t="n">
        <v>46027</v>
      </c>
      <c r="B9" s="29" t="inlineStr">
        <is>
          <t>Hospital São Lucas (exemplo, apague)</t>
        </is>
      </c>
      <c r="C9" s="29" t="n">
        <v>12</v>
      </c>
      <c r="D9" s="25" t="n">
        <v>120</v>
      </c>
      <c r="E9" s="13">
        <f>IF(OR(C9="",D9=""),"",C9*D9)</f>
        <v/>
      </c>
      <c r="F9" s="30" t="inlineStr">
        <is>
          <t>Não</t>
        </is>
      </c>
    </row>
    <row r="10">
      <c r="A10" s="28" t="n"/>
      <c r="B10" s="29" t="n"/>
      <c r="C10" s="29" t="n"/>
      <c r="D10" s="25" t="n"/>
      <c r="E10" s="13">
        <f>IF(OR(C10="",D10=""),"",C10*D10)</f>
        <v/>
      </c>
      <c r="F10" s="30" t="n"/>
    </row>
    <row r="11">
      <c r="A11" s="28" t="n"/>
      <c r="B11" s="29" t="n"/>
      <c r="C11" s="29" t="n"/>
      <c r="D11" s="25" t="n"/>
      <c r="E11" s="13">
        <f>IF(OR(C11="",D11=""),"",C11*D11)</f>
        <v/>
      </c>
      <c r="F11" s="30" t="n"/>
    </row>
    <row r="12">
      <c r="A12" s="28" t="n"/>
      <c r="B12" s="29" t="n"/>
      <c r="C12" s="29" t="n"/>
      <c r="D12" s="25" t="n"/>
      <c r="E12" s="13">
        <f>IF(OR(C12="",D12=""),"",C12*D12)</f>
        <v/>
      </c>
      <c r="F12" s="30" t="n"/>
    </row>
    <row r="13">
      <c r="A13" s="28" t="n"/>
      <c r="B13" s="29" t="n"/>
      <c r="C13" s="29" t="n"/>
      <c r="D13" s="25" t="n"/>
      <c r="E13" s="13">
        <f>IF(OR(C13="",D13=""),"",C13*D13)</f>
        <v/>
      </c>
      <c r="F13" s="30" t="n"/>
    </row>
    <row r="14">
      <c r="A14" s="28" t="n"/>
      <c r="B14" s="29" t="n"/>
      <c r="C14" s="29" t="n"/>
      <c r="D14" s="25" t="n"/>
      <c r="E14" s="13">
        <f>IF(OR(C14="",D14=""),"",C14*D14)</f>
        <v/>
      </c>
      <c r="F14" s="30" t="n"/>
    </row>
    <row r="15">
      <c r="A15" s="28" t="n"/>
      <c r="B15" s="29" t="n"/>
      <c r="C15" s="29" t="n"/>
      <c r="D15" s="25" t="n"/>
      <c r="E15" s="13">
        <f>IF(OR(C15="",D15=""),"",C15*D15)</f>
        <v/>
      </c>
      <c r="F15" s="30" t="n"/>
    </row>
    <row r="16">
      <c r="A16" s="28" t="n"/>
      <c r="B16" s="29" t="n"/>
      <c r="C16" s="29" t="n"/>
      <c r="D16" s="25" t="n"/>
      <c r="E16" s="13">
        <f>IF(OR(C16="",D16=""),"",C16*D16)</f>
        <v/>
      </c>
      <c r="F16" s="30" t="n"/>
    </row>
    <row r="17">
      <c r="A17" s="28" t="n"/>
      <c r="B17" s="29" t="n"/>
      <c r="C17" s="29" t="n"/>
      <c r="D17" s="25" t="n"/>
      <c r="E17" s="13">
        <f>IF(OR(C17="",D17=""),"",C17*D17)</f>
        <v/>
      </c>
      <c r="F17" s="30" t="n"/>
    </row>
    <row r="18">
      <c r="A18" s="28" t="n"/>
      <c r="B18" s="29" t="n"/>
      <c r="C18" s="29" t="n"/>
      <c r="D18" s="25" t="n"/>
      <c r="E18" s="13">
        <f>IF(OR(C18="",D18=""),"",C18*D18)</f>
        <v/>
      </c>
      <c r="F18" s="30" t="n"/>
    </row>
    <row r="19">
      <c r="A19" s="28" t="n"/>
      <c r="B19" s="29" t="n"/>
      <c r="C19" s="29" t="n"/>
      <c r="D19" s="25" t="n"/>
      <c r="E19" s="13">
        <f>IF(OR(C19="",D19=""),"",C19*D19)</f>
        <v/>
      </c>
      <c r="F19" s="30" t="n"/>
    </row>
    <row r="20">
      <c r="A20" s="28" t="n"/>
      <c r="B20" s="29" t="n"/>
      <c r="C20" s="29" t="n"/>
      <c r="D20" s="25" t="n"/>
      <c r="E20" s="13">
        <f>IF(OR(C20="",D20=""),"",C20*D20)</f>
        <v/>
      </c>
      <c r="F20" s="30" t="n"/>
    </row>
    <row r="21">
      <c r="A21" s="28" t="n"/>
      <c r="B21" s="29" t="n"/>
      <c r="C21" s="29" t="n"/>
      <c r="D21" s="25" t="n"/>
      <c r="E21" s="13">
        <f>IF(OR(C21="",D21=""),"",C21*D21)</f>
        <v/>
      </c>
      <c r="F21" s="30" t="n"/>
    </row>
    <row r="22">
      <c r="A22" s="28" t="n"/>
      <c r="B22" s="29" t="n"/>
      <c r="C22" s="29" t="n"/>
      <c r="D22" s="25" t="n"/>
      <c r="E22" s="13">
        <f>IF(OR(C22="",D22=""),"",C22*D22)</f>
        <v/>
      </c>
      <c r="F22" s="30" t="n"/>
    </row>
    <row r="23">
      <c r="A23" s="28" t="n"/>
      <c r="B23" s="29" t="n"/>
      <c r="C23" s="29" t="n"/>
      <c r="D23" s="25" t="n"/>
      <c r="E23" s="13">
        <f>IF(OR(C23="",D23=""),"",C23*D23)</f>
        <v/>
      </c>
      <c r="F23" s="30" t="n"/>
    </row>
    <row r="24">
      <c r="A24" s="28" t="n"/>
      <c r="B24" s="29" t="n"/>
      <c r="C24" s="29" t="n"/>
      <c r="D24" s="25" t="n"/>
      <c r="E24" s="13">
        <f>IF(OR(C24="",D24=""),"",C24*D24)</f>
        <v/>
      </c>
      <c r="F24" s="30" t="n"/>
    </row>
    <row r="25">
      <c r="A25" s="28" t="n"/>
      <c r="B25" s="29" t="n"/>
      <c r="C25" s="29" t="n"/>
      <c r="D25" s="25" t="n"/>
      <c r="E25" s="13">
        <f>IF(OR(C25="",D25=""),"",C25*D25)</f>
        <v/>
      </c>
      <c r="F25" s="30" t="n"/>
    </row>
    <row r="26">
      <c r="A26" s="28" t="n"/>
      <c r="B26" s="29" t="n"/>
      <c r="C26" s="29" t="n"/>
      <c r="D26" s="25" t="n"/>
      <c r="E26" s="13">
        <f>IF(OR(C26="",D26=""),"",C26*D26)</f>
        <v/>
      </c>
      <c r="F26" s="30" t="n"/>
    </row>
    <row r="27">
      <c r="A27" s="28" t="n"/>
      <c r="B27" s="29" t="n"/>
      <c r="C27" s="29" t="n"/>
      <c r="D27" s="25" t="n"/>
      <c r="E27" s="13">
        <f>IF(OR(C27="",D27=""),"",C27*D27)</f>
        <v/>
      </c>
      <c r="F27" s="30" t="n"/>
    </row>
    <row r="28">
      <c r="A28" s="28" t="n"/>
      <c r="B28" s="29" t="n"/>
      <c r="C28" s="29" t="n"/>
      <c r="D28" s="25" t="n"/>
      <c r="E28" s="13">
        <f>IF(OR(C28="",D28=""),"",C28*D28)</f>
        <v/>
      </c>
      <c r="F28" s="30" t="n"/>
    </row>
    <row r="29">
      <c r="A29" s="28" t="n"/>
      <c r="B29" s="29" t="n"/>
      <c r="C29" s="29" t="n"/>
      <c r="D29" s="25" t="n"/>
      <c r="E29" s="13">
        <f>IF(OR(C29="",D29=""),"",C29*D29)</f>
        <v/>
      </c>
      <c r="F29" s="30" t="n"/>
    </row>
    <row r="30">
      <c r="A30" s="28" t="n"/>
      <c r="B30" s="29" t="n"/>
      <c r="C30" s="29" t="n"/>
      <c r="D30" s="25" t="n"/>
      <c r="E30" s="13">
        <f>IF(OR(C30="",D30=""),"",C30*D30)</f>
        <v/>
      </c>
      <c r="F30" s="30" t="n"/>
    </row>
    <row r="31">
      <c r="A31" s="28" t="n"/>
      <c r="B31" s="29" t="n"/>
      <c r="C31" s="29" t="n"/>
      <c r="D31" s="25" t="n"/>
      <c r="E31" s="13">
        <f>IF(OR(C31="",D31=""),"",C31*D31)</f>
        <v/>
      </c>
      <c r="F31" s="30" t="n"/>
    </row>
    <row r="32">
      <c r="A32" s="28" t="n"/>
      <c r="B32" s="29" t="n"/>
      <c r="C32" s="29" t="n"/>
      <c r="D32" s="25" t="n"/>
      <c r="E32" s="13">
        <f>IF(OR(C32="",D32=""),"",C32*D32)</f>
        <v/>
      </c>
      <c r="F32" s="30" t="n"/>
    </row>
    <row r="33">
      <c r="A33" s="28" t="n"/>
      <c r="B33" s="29" t="n"/>
      <c r="C33" s="29" t="n"/>
      <c r="D33" s="25" t="n"/>
      <c r="E33" s="13">
        <f>IF(OR(C33="",D33=""),"",C33*D33)</f>
        <v/>
      </c>
      <c r="F33" s="30" t="n"/>
    </row>
    <row r="34">
      <c r="A34" s="28" t="n"/>
      <c r="B34" s="29" t="n"/>
      <c r="C34" s="29" t="n"/>
      <c r="D34" s="25" t="n"/>
      <c r="E34" s="13">
        <f>IF(OR(C34="",D34=""),"",C34*D34)</f>
        <v/>
      </c>
      <c r="F34" s="30" t="n"/>
    </row>
    <row r="35">
      <c r="A35" s="28" t="n"/>
      <c r="B35" s="29" t="n"/>
      <c r="C35" s="29" t="n"/>
      <c r="D35" s="25" t="n"/>
      <c r="E35" s="13">
        <f>IF(OR(C35="",D35=""),"",C35*D35)</f>
        <v/>
      </c>
      <c r="F35" s="30" t="n"/>
    </row>
    <row r="36">
      <c r="A36" s="28" t="n"/>
      <c r="B36" s="29" t="n"/>
      <c r="C36" s="29" t="n"/>
      <c r="D36" s="25" t="n"/>
      <c r="E36" s="13">
        <f>IF(OR(C36="",D36=""),"",C36*D36)</f>
        <v/>
      </c>
      <c r="F36" s="30" t="n"/>
    </row>
    <row r="37">
      <c r="A37" s="28" t="n"/>
      <c r="B37" s="29" t="n"/>
      <c r="C37" s="29" t="n"/>
      <c r="D37" s="25" t="n"/>
      <c r="E37" s="13">
        <f>IF(OR(C37="",D37=""),"",C37*D37)</f>
        <v/>
      </c>
      <c r="F37" s="30" t="n"/>
    </row>
    <row r="38">
      <c r="A38" s="28" t="n"/>
      <c r="B38" s="29" t="n"/>
      <c r="C38" s="29" t="n"/>
      <c r="D38" s="25" t="n"/>
      <c r="E38" s="13">
        <f>IF(OR(C38="",D38=""),"",C38*D38)</f>
        <v/>
      </c>
      <c r="F38" s="30" t="n"/>
    </row>
    <row r="39">
      <c r="A39" s="28" t="n"/>
      <c r="B39" s="29" t="n"/>
      <c r="C39" s="29" t="n"/>
      <c r="D39" s="25" t="n"/>
      <c r="E39" s="13">
        <f>IF(OR(C39="",D39=""),"",C39*D39)</f>
        <v/>
      </c>
      <c r="F39" s="30" t="n"/>
    </row>
    <row r="40">
      <c r="A40" s="28" t="n"/>
      <c r="B40" s="29" t="n"/>
      <c r="C40" s="29" t="n"/>
      <c r="D40" s="25" t="n"/>
      <c r="E40" s="13">
        <f>IF(OR(C40="",D40=""),"",C40*D40)</f>
        <v/>
      </c>
      <c r="F40" s="30" t="n"/>
    </row>
    <row r="41">
      <c r="A41" s="28" t="n"/>
      <c r="B41" s="29" t="n"/>
      <c r="C41" s="29" t="n"/>
      <c r="D41" s="25" t="n"/>
      <c r="E41" s="13">
        <f>IF(OR(C41="",D41=""),"",C41*D41)</f>
        <v/>
      </c>
      <c r="F41" s="30" t="n"/>
    </row>
    <row r="42">
      <c r="A42" s="28" t="n"/>
      <c r="B42" s="29" t="n"/>
      <c r="C42" s="29" t="n"/>
      <c r="D42" s="25" t="n"/>
      <c r="E42" s="13">
        <f>IF(OR(C42="",D42=""),"",C42*D42)</f>
        <v/>
      </c>
      <c r="F42" s="30" t="n"/>
    </row>
    <row r="43">
      <c r="A43" s="28" t="n"/>
      <c r="B43" s="29" t="n"/>
      <c r="C43" s="29" t="n"/>
      <c r="D43" s="25" t="n"/>
      <c r="E43" s="13">
        <f>IF(OR(C43="",D43=""),"",C43*D43)</f>
        <v/>
      </c>
      <c r="F43" s="30" t="n"/>
    </row>
    <row r="44">
      <c r="A44" s="28" t="n"/>
      <c r="B44" s="29" t="n"/>
      <c r="C44" s="29" t="n"/>
      <c r="D44" s="25" t="n"/>
      <c r="E44" s="13">
        <f>IF(OR(C44="",D44=""),"",C44*D44)</f>
        <v/>
      </c>
      <c r="F44" s="30" t="n"/>
    </row>
    <row r="45">
      <c r="A45" s="28" t="n"/>
      <c r="B45" s="29" t="n"/>
      <c r="C45" s="29" t="n"/>
      <c r="D45" s="25" t="n"/>
      <c r="E45" s="13">
        <f>IF(OR(C45="",D45=""),"",C45*D45)</f>
        <v/>
      </c>
      <c r="F45" s="30" t="n"/>
    </row>
    <row r="46">
      <c r="A46" s="28" t="n"/>
      <c r="B46" s="29" t="n"/>
      <c r="C46" s="29" t="n"/>
      <c r="D46" s="25" t="n"/>
      <c r="E46" s="13">
        <f>IF(OR(C46="",D46=""),"",C46*D46)</f>
        <v/>
      </c>
      <c r="F46" s="30" t="n"/>
    </row>
    <row r="47">
      <c r="A47" s="28" t="n"/>
      <c r="B47" s="29" t="n"/>
      <c r="C47" s="29" t="n"/>
      <c r="D47" s="25" t="n"/>
      <c r="E47" s="13">
        <f>IF(OR(C47="",D47=""),"",C47*D47)</f>
        <v/>
      </c>
      <c r="F47" s="30" t="n"/>
    </row>
    <row r="48">
      <c r="A48" s="28" t="n"/>
      <c r="B48" s="29" t="n"/>
      <c r="C48" s="29" t="n"/>
      <c r="D48" s="25" t="n"/>
      <c r="E48" s="13">
        <f>IF(OR(C48="",D48=""),"",C48*D48)</f>
        <v/>
      </c>
      <c r="F48" s="30" t="n"/>
    </row>
    <row r="49">
      <c r="A49" s="28" t="n"/>
      <c r="B49" s="29" t="n"/>
      <c r="C49" s="29" t="n"/>
      <c r="D49" s="25" t="n"/>
      <c r="E49" s="13">
        <f>IF(OR(C49="",D49=""),"",C49*D49)</f>
        <v/>
      </c>
      <c r="F49" s="30" t="n"/>
    </row>
    <row r="50">
      <c r="A50" s="28" t="n"/>
      <c r="B50" s="29" t="n"/>
      <c r="C50" s="29" t="n"/>
      <c r="D50" s="25" t="n"/>
      <c r="E50" s="13">
        <f>IF(OR(C50="",D50=""),"",C50*D50)</f>
        <v/>
      </c>
      <c r="F50" s="30" t="n"/>
    </row>
    <row r="51">
      <c r="A51" s="28" t="n"/>
      <c r="B51" s="29" t="n"/>
      <c r="C51" s="29" t="n"/>
      <c r="D51" s="25" t="n"/>
      <c r="E51" s="13">
        <f>IF(OR(C51="",D51=""),"",C51*D51)</f>
        <v/>
      </c>
      <c r="F51" s="30" t="n"/>
    </row>
    <row r="52">
      <c r="A52" s="28" t="n"/>
      <c r="B52" s="29" t="n"/>
      <c r="C52" s="29" t="n"/>
      <c r="D52" s="25" t="n"/>
      <c r="E52" s="13">
        <f>IF(OR(C52="",D52=""),"",C52*D52)</f>
        <v/>
      </c>
      <c r="F52" s="30" t="n"/>
    </row>
    <row r="53">
      <c r="A53" s="28" t="n"/>
      <c r="B53" s="29" t="n"/>
      <c r="C53" s="29" t="n"/>
      <c r="D53" s="25" t="n"/>
      <c r="E53" s="13">
        <f>IF(OR(C53="",D53=""),"",C53*D53)</f>
        <v/>
      </c>
      <c r="F53" s="30" t="n"/>
    </row>
    <row r="54">
      <c r="A54" s="28" t="n"/>
      <c r="B54" s="29" t="n"/>
      <c r="C54" s="29" t="n"/>
      <c r="D54" s="25" t="n"/>
      <c r="E54" s="13">
        <f>IF(OR(C54="",D54=""),"",C54*D54)</f>
        <v/>
      </c>
      <c r="F54" s="30" t="n"/>
    </row>
    <row r="55">
      <c r="A55" s="28" t="n"/>
      <c r="B55" s="29" t="n"/>
      <c r="C55" s="29" t="n"/>
      <c r="D55" s="25" t="n"/>
      <c r="E55" s="13">
        <f>IF(OR(C55="",D55=""),"",C55*D55)</f>
        <v/>
      </c>
      <c r="F55" s="30" t="n"/>
    </row>
    <row r="56">
      <c r="A56" s="28" t="n"/>
      <c r="B56" s="29" t="n"/>
      <c r="C56" s="29" t="n"/>
      <c r="D56" s="25" t="n"/>
      <c r="E56" s="13">
        <f>IF(OR(C56="",D56=""),"",C56*D56)</f>
        <v/>
      </c>
      <c r="F56" s="30" t="n"/>
    </row>
    <row r="57">
      <c r="A57" s="28" t="n"/>
      <c r="B57" s="29" t="n"/>
      <c r="C57" s="29" t="n"/>
      <c r="D57" s="25" t="n"/>
      <c r="E57" s="13">
        <f>IF(OR(C57="",D57=""),"",C57*D57)</f>
        <v/>
      </c>
      <c r="F57" s="30" t="n"/>
    </row>
    <row r="58">
      <c r="A58" s="28" t="n"/>
      <c r="B58" s="29" t="n"/>
      <c r="C58" s="29" t="n"/>
      <c r="D58" s="25" t="n"/>
      <c r="E58" s="13">
        <f>IF(OR(C58="",D58=""),"",C58*D58)</f>
        <v/>
      </c>
      <c r="F58" s="30" t="n"/>
    </row>
  </sheetData>
  <mergeCells count="3">
    <mergeCell ref="A4:B4"/>
    <mergeCell ref="A6:B6"/>
    <mergeCell ref="A5:B5"/>
  </mergeCells>
  <dataValidations count="1">
    <dataValidation sqref="F9:F58" showDropDown="0" showInputMessage="0" showErrorMessage="0" allowBlank="1" error="Escolha Sim ou Não" type="list">
      <formula1>"Sim,Não"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BF00"/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6" customWidth="1" min="2" max="2"/>
  </cols>
  <sheetData>
    <row r="1">
      <c r="A1" s="8" t="inlineStr">
        <is>
          <t>Reserva de emergência</t>
        </is>
      </c>
    </row>
    <row r="2">
      <c r="A2" s="9" t="inlineStr">
        <is>
          <t>Seu colchão pra dormir tranquilo entre um contrato e outro.</t>
        </is>
      </c>
    </row>
    <row r="4">
      <c r="A4" s="12" t="inlineStr">
        <is>
          <t>Quantos meses de despesas você quer guardar</t>
        </is>
      </c>
      <c r="B4" s="31" t="n">
        <v>6</v>
      </c>
    </row>
    <row r="5">
      <c r="A5" s="12" t="inlineStr">
        <is>
          <t>Sua despesa média mensal (calculada pelo Painel)</t>
        </is>
      </c>
      <c r="B5" s="32">
        <f>IFERROR(AVERAGEIF(Painel!B8:M8,"&gt;0"),0)</f>
        <v/>
      </c>
    </row>
    <row r="6">
      <c r="A6" s="12" t="inlineStr">
        <is>
          <t>Meta da reserva de emergência</t>
        </is>
      </c>
      <c r="B6" s="32">
        <f>B4*B5</f>
        <v/>
      </c>
    </row>
    <row r="7">
      <c r="A7" s="12" t="inlineStr">
        <is>
          <t>Quanto você já tem guardado hoje</t>
        </is>
      </c>
      <c r="B7" s="25" t="n">
        <v>0</v>
      </c>
    </row>
    <row r="8">
      <c r="A8" s="12" t="inlineStr">
        <is>
          <t>Quanto ainda falta</t>
        </is>
      </c>
      <c r="B8" s="32">
        <f>MAX(0,B6-B7)</f>
        <v/>
      </c>
    </row>
    <row r="9">
      <c r="A9" s="12" t="inlineStr">
        <is>
          <t>Progresso da meta</t>
        </is>
      </c>
      <c r="B9" s="33">
        <f>IF(B6=0,0,MIN(1,B7/B6))</f>
        <v/>
      </c>
    </row>
    <row r="10">
      <c r="A10" s="12" t="inlineStr">
        <is>
          <t>Quanto você consegue guardar por mês</t>
        </is>
      </c>
      <c r="B10" s="25" t="n">
        <v>0</v>
      </c>
    </row>
    <row r="11">
      <c r="A11" s="12" t="inlineStr">
        <is>
          <t>Meses até bater a meta</t>
        </is>
      </c>
      <c r="B11" s="34">
        <f>IF(B10&lt;=0,"Preencha acima",IF(B8&lt;=0,"Meta batida!",ROUNDUP(B8/B10,0)))</f>
        <v/>
      </c>
    </row>
    <row r="13">
      <c r="A13" s="35" t="inlineStr">
        <is>
          <t>Por que 6 meses? É o padrão pra quem tem renda variável, que é o caso de praticamente todo médico no início da carreira. Se sua renda é 100% CLT estável, 3 a 4 meses já seguram a barra.</t>
        </is>
      </c>
    </row>
    <row r="14"/>
  </sheetData>
  <mergeCells count="1">
    <mergeCell ref="A13:B14"/>
  </mergeCells>
  <conditionalFormatting sqref="B9">
    <cfRule type="dataBar" priority="1">
      <dataBar showValue="1">
        <cfvo type="num" val="0"/>
        <cfvo type="num" val="1"/>
        <color rgb="00007BFF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F2A37"/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95" customWidth="1" min="2" max="2"/>
  </cols>
  <sheetData>
    <row r="1">
      <c r="A1" s="8" t="inlineStr">
        <is>
          <t>Guia rápido do recém-formado</t>
        </is>
      </c>
    </row>
    <row r="2">
      <c r="A2" s="9" t="inlineStr">
        <is>
          <t>O que ninguém ensina na faculdade sobre a vida financeira do médico.</t>
        </is>
      </c>
    </row>
    <row r="4">
      <c r="A4" s="11" t="inlineStr">
        <is>
          <t>Feito?</t>
        </is>
      </c>
      <c r="B4" s="36" t="inlineStr">
        <is>
          <t>Checklist financeiro de quem tá começando</t>
        </is>
      </c>
    </row>
    <row r="5">
      <c r="A5" s="30" t="n"/>
      <c r="B5" s="37" t="inlineStr">
        <is>
          <t>Planejar a anuidade do CRM (vence todo ano, e o boleto não perdoa)</t>
        </is>
      </c>
    </row>
    <row r="6">
      <c r="A6" s="30" t="n"/>
      <c r="B6" s="37" t="inlineStr">
        <is>
          <t>Conversar com um contador sobre CLT x PJ antes de assinar qualquer contrato</t>
        </is>
      </c>
    </row>
    <row r="7">
      <c r="A7" s="30" t="n"/>
      <c r="B7" s="37" t="inlineStr">
        <is>
          <t>Se atende como autônomo (RPA), entender carnê-leão e INSS pra não cair na malha fina</t>
        </is>
      </c>
    </row>
    <row r="8">
      <c r="A8" s="30" t="n"/>
      <c r="B8" s="37" t="inlineStr">
        <is>
          <t>Contratar seguro de responsabilidade civil profissional</t>
        </is>
      </c>
    </row>
    <row r="9">
      <c r="A9" s="30" t="n"/>
      <c r="B9" s="37" t="inlineStr">
        <is>
          <t>Montar a reserva de emergência de 6 meses (aba Reserva desta planilha)</t>
        </is>
      </c>
    </row>
    <row r="10">
      <c r="A10" s="30" t="n"/>
      <c r="B10" s="37" t="inlineStr">
        <is>
          <t>Guardar todos os informes de rendimento: plantão PJ e RPA entram na declaração do IR</t>
        </is>
      </c>
    </row>
    <row r="11">
      <c r="A11" s="30" t="n"/>
      <c r="B11" s="37" t="inlineStr">
        <is>
          <t>Revisar plano de saúde próprio (sim, médico também precisa de plano)</t>
        </is>
      </c>
    </row>
    <row r="12">
      <c r="A12" s="30" t="n"/>
      <c r="B12" s="37" t="inlineStr">
        <is>
          <t>Só depois da reserva pronta: começar a estudar sobre investimentos e previdência</t>
        </is>
      </c>
    </row>
    <row r="14">
      <c r="B14" s="3" t="inlineStr">
        <is>
          <t>A regra 50 / 30 / 20 adaptada pra quem tem renda variável</t>
        </is>
      </c>
    </row>
    <row r="15">
      <c r="B15" s="4" t="inlineStr">
        <is>
          <t>50% da renda FIXA pra essenciais: moradia, contas, mercado, transporte, plano de saúde.</t>
        </is>
      </c>
    </row>
    <row r="16">
      <c r="B16" s="4" t="inlineStr">
        <is>
          <t>30% pra estilo de vida: lazer, restaurantes, viagens, aquele jantar pós-plantão.</t>
        </is>
      </c>
    </row>
    <row r="17">
      <c r="B17" s="4" t="inlineStr">
        <is>
          <t>20% pro futuro: reserva de emergência primeiro, depois pós-graduação e investimentos.</t>
        </is>
      </c>
    </row>
    <row r="18">
      <c r="B18" s="4" t="inlineStr">
        <is>
          <t>E o plantão extra? Vai direto pro futuro. Quem trata renda extra como salário fixo vive no aperto.</t>
        </is>
      </c>
    </row>
    <row r="20">
      <c r="B20" s="24" t="inlineStr">
        <is>
          <t>Isso é uma referência de organização, não recomendação de investimento. Pra decisões de investimento, procure um profissional certificado.</t>
        </is>
      </c>
    </row>
    <row r="22">
      <c r="B22" s="3" t="inlineStr">
        <is>
          <t>Curtiu a planilha? Então você vai gostar da nossa newsletter.</t>
        </is>
      </c>
    </row>
    <row r="23" ht="32" customHeight="1">
      <c r="B23" s="38" t="inlineStr">
        <is>
          <t>Toda segunda e quinta, 6h36 da manhã, a gente manda de graça as notícias que importam pra nós médicos: carreira, finanças, tecnologia e novidades científicas. Assina em lp.euamomedicina.com</t>
        </is>
      </c>
    </row>
    <row r="25" ht="32" customHeight="1">
      <c r="B25" s="38" t="inlineStr">
        <is>
          <t>Ainda em dúvida sobre qual especialidade seguir? Conheça o Med Escolha 2.0, nosso teste de compatibilidade com as 55 especialidades médicas: match.medescolha.com</t>
        </is>
      </c>
    </row>
  </sheetData>
  <dataValidations count="1">
    <dataValidation sqref="A5:A12" showDropDown="0" showInputMessage="0" showErrorMessage="0" allowBlank="1" type="list">
      <formula1>"Sim,Ainda não"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2026-07-28T23:11:33Z</dcterms:created>
  <dcterms:modified xsi:type="dcterms:W3CDTF">2026-07-28T23:11:33Z</dcterms:modified>
</cp:coreProperties>
</file>